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usterpalmeras-my.sharepoint.com/personal/karen_garrido_sansebastiano_co/Documents/DESCARGAS/"/>
    </mc:Choice>
  </mc:AlternateContent>
  <xr:revisionPtr revIDLastSave="0" documentId="8_{41DA6A5B-AE8F-44AD-98B8-126430F7C8EE}" xr6:coauthVersionLast="47" xr6:coauthVersionMax="47" xr10:uidLastSave="{00000000-0000-0000-0000-000000000000}"/>
  <bookViews>
    <workbookView xWindow="-110" yWindow="-110" windowWidth="19420" windowHeight="10420" activeTab="1" xr2:uid="{182E15CB-06E8-45B5-B988-0EA55899FE8B}"/>
  </bookViews>
  <sheets>
    <sheet name="2025" sheetId="2" r:id="rId1"/>
    <sheet name="20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1" l="1"/>
  <c r="G21" i="1"/>
  <c r="E20" i="1"/>
  <c r="E21" i="1"/>
  <c r="D22" i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G10" i="2"/>
  <c r="C10" i="2"/>
  <c r="D9" i="2"/>
  <c r="D18" i="2" s="1"/>
  <c r="G8" i="2"/>
  <c r="E8" i="2"/>
  <c r="G7" i="2"/>
  <c r="E7" i="2"/>
  <c r="G6" i="2"/>
  <c r="E6" i="2"/>
  <c r="G5" i="2"/>
  <c r="E5" i="2"/>
  <c r="G4" i="2"/>
  <c r="E4" i="2"/>
  <c r="G3" i="2"/>
  <c r="E3" i="2"/>
  <c r="G2" i="2"/>
  <c r="G9" i="2" s="1"/>
  <c r="E2" i="2"/>
  <c r="E9" i="2" s="1"/>
  <c r="C9" i="2" l="1"/>
  <c r="F9" i="2"/>
  <c r="G18" i="2"/>
  <c r="E18" i="2"/>
  <c r="C18" i="2" s="1"/>
  <c r="E18" i="1" l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1" i="1"/>
  <c r="D10" i="1"/>
  <c r="C10" i="1"/>
  <c r="E9" i="1"/>
  <c r="G9" i="1" s="1"/>
  <c r="E8" i="1"/>
  <c r="G8" i="1" s="1"/>
  <c r="E7" i="1"/>
  <c r="E6" i="1"/>
  <c r="G6" i="1" s="1"/>
  <c r="E5" i="1"/>
  <c r="G5" i="1" s="1"/>
  <c r="E4" i="1"/>
  <c r="G4" i="1" s="1"/>
  <c r="E3" i="1"/>
  <c r="G3" i="1" s="1"/>
  <c r="E2" i="1"/>
  <c r="G2" i="1" s="1"/>
  <c r="D23" i="1" l="1"/>
  <c r="E10" i="1"/>
  <c r="G12" i="1"/>
  <c r="G7" i="1"/>
  <c r="G10" i="1" s="1"/>
  <c r="E22" i="1" l="1"/>
  <c r="E23" i="1" s="1"/>
  <c r="C23" i="1" s="1"/>
  <c r="E19" i="1"/>
  <c r="G19" i="1" s="1"/>
  <c r="G22" i="1" s="1"/>
  <c r="C22" i="1"/>
  <c r="F22" i="1" l="1"/>
  <c r="G23" i="1"/>
</calcChain>
</file>

<file path=xl/sharedStrings.xml><?xml version="1.0" encoding="utf-8"?>
<sst xmlns="http://schemas.openxmlformats.org/spreadsheetml/2006/main" count="85" uniqueCount="55">
  <si>
    <t>Plantación</t>
  </si>
  <si>
    <t>Productividad
(Ton/ha/año)</t>
  </si>
  <si>
    <t>Área
(ha)</t>
  </si>
  <si>
    <t>RFF Año</t>
  </si>
  <si>
    <t>Fidelizado</t>
  </si>
  <si>
    <t>RFF PESS</t>
  </si>
  <si>
    <t>SILLATAVA</t>
  </si>
  <si>
    <t>OCARRAVA</t>
  </si>
  <si>
    <t>ANDRIA</t>
  </si>
  <si>
    <t>SAMANI</t>
  </si>
  <si>
    <t>SAN LUIS</t>
  </si>
  <si>
    <t>METALTECO</t>
  </si>
  <si>
    <t>METALTECO N.S</t>
  </si>
  <si>
    <t>COROCORA</t>
  </si>
  <si>
    <t>TOTAL GRUPO</t>
  </si>
  <si>
    <t>SANTA SOFIA</t>
  </si>
  <si>
    <t>SANTA BARBARA</t>
  </si>
  <si>
    <t>PROAGROLLANOS</t>
  </si>
  <si>
    <t>BENGALA</t>
  </si>
  <si>
    <t>AGROVID SAS</t>
  </si>
  <si>
    <t>PASTOS Y LEGUMINOSAS S.A.</t>
  </si>
  <si>
    <t xml:space="preserve">PLANTAR FUTURO </t>
  </si>
  <si>
    <t>GUANAPALO</t>
  </si>
  <si>
    <t>TENAMPA</t>
  </si>
  <si>
    <t>TOTAL TERCEROS</t>
  </si>
  <si>
    <t>TOTAL MES</t>
  </si>
  <si>
    <t>Tipo</t>
  </si>
  <si>
    <t>Productividad</t>
  </si>
  <si>
    <t>Área</t>
  </si>
  <si>
    <t>Grupo</t>
  </si>
  <si>
    <t>PALMERAS SILLATAVA S.A.S.</t>
  </si>
  <si>
    <t>PALMERAS OCARRAVA S.A.S</t>
  </si>
  <si>
    <t>PALMERAS SAMANI</t>
  </si>
  <si>
    <t xml:space="preserve">SAN LUIS </t>
  </si>
  <si>
    <t>PALMERAS METALTECO</t>
  </si>
  <si>
    <t>SIEMBRAS 2023</t>
  </si>
  <si>
    <t>PALMAR DE SANTA BARBARA</t>
  </si>
  <si>
    <t>PROAGROLLANOS-D.A.I.M. S.A.S.</t>
  </si>
  <si>
    <t>Terceros</t>
  </si>
  <si>
    <t>LOS SANTOS</t>
  </si>
  <si>
    <t>SAN JOSE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</si>
  <si>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</si>
  <si>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</si>
  <si>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</si>
  <si>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</si>
  <si>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</si>
  <si>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</si>
  <si>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</si>
  <si>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</si>
  <si>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</si>
  <si>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</si>
  <si>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</si>
  <si>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</si>
  <si>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</si>
  <si>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Porcentajes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</si>
</sst>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_-;\-* #,##0_-;_-* &quot;-&quot;?_-;_-@_-"/>
    <numFmt numFmtId="167" formatCode="_-* #,##0.0_-;\-* #,##0.0_-;_-* &quot;-&quot;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4" xfId="2" applyNumberFormat="1" applyFont="1" applyBorder="1"/>
    <xf numFmtId="165" fontId="0" fillId="0" borderId="0" xfId="2" applyNumberFormat="1" applyFont="1" applyBorder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3" borderId="7" xfId="0" applyFont="1" applyFill="1" applyBorder="1" applyAlignment="1">
      <alignment vertical="center"/>
    </xf>
    <xf numFmtId="43" fontId="2" fillId="3" borderId="2" xfId="0" applyNumberFormat="1" applyFont="1" applyFill="1" applyBorder="1" applyAlignment="1">
      <alignment vertical="center"/>
    </xf>
    <xf numFmtId="165" fontId="2" fillId="3" borderId="3" xfId="0" applyNumberFormat="1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vertical="center"/>
    </xf>
    <xf numFmtId="166" fontId="2" fillId="3" borderId="8" xfId="0" applyNumberFormat="1" applyFont="1" applyFill="1" applyBorder="1" applyAlignment="1">
      <alignment vertical="center"/>
    </xf>
    <xf numFmtId="43" fontId="0" fillId="0" borderId="4" xfId="2" applyFont="1" applyBorder="1"/>
    <xf numFmtId="9" fontId="0" fillId="0" borderId="0" xfId="1" applyFont="1" applyBorder="1" applyAlignment="1">
      <alignment horizontal="left" vertical="center"/>
    </xf>
    <xf numFmtId="43" fontId="0" fillId="0" borderId="0" xfId="2" applyFont="1" applyBorder="1" applyAlignment="1">
      <alignment horizontal="left" vertical="center"/>
    </xf>
    <xf numFmtId="9" fontId="0" fillId="0" borderId="0" xfId="1" applyFont="1" applyFill="1" applyBorder="1" applyAlignment="1">
      <alignment horizontal="left" vertical="center"/>
    </xf>
    <xf numFmtId="165" fontId="0" fillId="0" borderId="0" xfId="2" applyNumberFormat="1" applyFont="1" applyBorder="1"/>
    <xf numFmtId="0" fontId="2" fillId="4" borderId="1" xfId="0" applyFont="1" applyFill="1" applyBorder="1" applyAlignment="1">
      <alignment horizontal="left" vertical="center"/>
    </xf>
    <xf numFmtId="43" fontId="2" fillId="4" borderId="9" xfId="2" applyFont="1" applyFill="1" applyBorder="1"/>
    <xf numFmtId="165" fontId="2" fillId="4" borderId="10" xfId="0" applyNumberFormat="1" applyFont="1" applyFill="1" applyBorder="1"/>
    <xf numFmtId="10" fontId="2" fillId="4" borderId="10" xfId="1" applyNumberFormat="1" applyFont="1" applyFill="1" applyBorder="1" applyAlignment="1">
      <alignment horizontal="left" vertical="center"/>
    </xf>
    <xf numFmtId="167" fontId="2" fillId="4" borderId="10" xfId="0" applyNumberFormat="1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43" fontId="2" fillId="0" borderId="2" xfId="0" applyNumberFormat="1" applyFont="1" applyBorder="1"/>
    <xf numFmtId="165" fontId="2" fillId="0" borderId="3" xfId="0" applyNumberFormat="1" applyFont="1" applyBorder="1"/>
    <xf numFmtId="166" fontId="2" fillId="0" borderId="3" xfId="0" applyNumberFormat="1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3" fillId="0" borderId="5" xfId="0" applyFont="1" applyBorder="1" applyAlignment="1">
      <alignment horizontal="left" vertical="center"/>
    </xf>
    <xf numFmtId="43" fontId="3" fillId="0" borderId="4" xfId="2" applyFont="1" applyBorder="1"/>
    <xf numFmtId="165" fontId="3" fillId="0" borderId="0" xfId="2" applyNumberFormat="1" applyFont="1" applyBorder="1"/>
    <xf numFmtId="9" fontId="3" fillId="0" borderId="0" xfId="1" applyFont="1" applyBorder="1" applyAlignment="1">
      <alignment horizontal="left" vertical="center"/>
    </xf>
    <xf numFmtId="43" fontId="3" fillId="0" borderId="0" xfId="2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0" fillId="0" borderId="7" xfId="0" applyBorder="1"/>
    <xf numFmtId="10" fontId="2" fillId="0" borderId="7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64" fontId="0" fillId="0" borderId="7" xfId="2" applyNumberFormat="1" applyFont="1" applyBorder="1"/>
    <xf numFmtId="165" fontId="0" fillId="0" borderId="7" xfId="2" applyNumberFormat="1" applyFont="1" applyBorder="1" applyAlignment="1">
      <alignment horizontal="left" vertical="center"/>
    </xf>
    <xf numFmtId="166" fontId="0" fillId="0" borderId="7" xfId="0" applyNumberFormat="1" applyBorder="1" applyAlignment="1">
      <alignment horizontal="left" vertical="center"/>
    </xf>
    <xf numFmtId="9" fontId="0" fillId="0" borderId="7" xfId="0" applyNumberFormat="1" applyBorder="1" applyAlignment="1">
      <alignment horizontal="left" vertical="center"/>
    </xf>
    <xf numFmtId="43" fontId="2" fillId="3" borderId="7" xfId="0" applyNumberFormat="1" applyFont="1" applyFill="1" applyBorder="1" applyAlignment="1">
      <alignment vertical="center"/>
    </xf>
    <xf numFmtId="165" fontId="2" fillId="3" borderId="7" xfId="0" applyNumberFormat="1" applyFont="1" applyFill="1" applyBorder="1" applyAlignment="1">
      <alignment vertical="center"/>
    </xf>
    <xf numFmtId="166" fontId="2" fillId="3" borderId="7" xfId="0" applyNumberFormat="1" applyFont="1" applyFill="1" applyBorder="1" applyAlignment="1">
      <alignment vertical="center"/>
    </xf>
    <xf numFmtId="43" fontId="0" fillId="0" borderId="7" xfId="2" applyFont="1" applyBorder="1"/>
    <xf numFmtId="9" fontId="0" fillId="0" borderId="7" xfId="1" applyFont="1" applyBorder="1" applyAlignment="1">
      <alignment horizontal="left" vertical="center"/>
    </xf>
    <xf numFmtId="9" fontId="0" fillId="0" borderId="7" xfId="1" applyFont="1" applyFill="1" applyBorder="1" applyAlignment="1">
      <alignment horizontal="left" vertical="center"/>
    </xf>
    <xf numFmtId="165" fontId="0" fillId="0" borderId="7" xfId="2" applyNumberFormat="1" applyFont="1" applyBorder="1"/>
    <xf numFmtId="0" fontId="2" fillId="4" borderId="7" xfId="0" applyFont="1" applyFill="1" applyBorder="1" applyAlignment="1">
      <alignment horizontal="left" vertical="center"/>
    </xf>
    <xf numFmtId="43" fontId="2" fillId="4" borderId="7" xfId="0" applyNumberFormat="1" applyFont="1" applyFill="1" applyBorder="1"/>
    <xf numFmtId="165" fontId="2" fillId="4" borderId="7" xfId="0" applyNumberFormat="1" applyFont="1" applyFill="1" applyBorder="1"/>
    <xf numFmtId="167" fontId="2" fillId="4" borderId="7" xfId="0" applyNumberFormat="1" applyFont="1" applyFill="1" applyBorder="1" applyAlignment="1">
      <alignment horizontal="left" vertical="center"/>
    </xf>
  </cellXfs>
  <cellStyles count="3">
    <cellStyle name="Millares 2" xfId="2" xr:uid="{F99F66C3-D362-41A0-BF76-D5000893EBFE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E51B-0BB1-438E-9D42-A4AADD2C9B14}">
  <dimension ref="A1:J18"/>
  <sheetViews>
    <sheetView workbookViewId="0">
      <selection activeCell="J1" sqref="J1:J13"/>
    </sheetView>
  </sheetViews>
  <sheetFormatPr baseColWidth="10" defaultRowHeight="14.5" x14ac:dyDescent="0.35"/>
  <cols>
    <col min="2" max="2" width="28.1796875" bestFit="1" customWidth="1"/>
    <col min="3" max="3" width="12.54296875" bestFit="1" customWidth="1"/>
  </cols>
  <sheetData>
    <row r="1" spans="1:10" x14ac:dyDescent="0.35">
      <c r="A1" s="31" t="s">
        <v>26</v>
      </c>
      <c r="B1" s="31" t="s">
        <v>0</v>
      </c>
      <c r="C1" s="31" t="s">
        <v>27</v>
      </c>
      <c r="D1" s="31" t="s">
        <v>28</v>
      </c>
      <c r="E1" s="31" t="s">
        <v>3</v>
      </c>
      <c r="F1" s="31" t="s">
        <v>4</v>
      </c>
      <c r="G1" s="31" t="s">
        <v>5</v>
      </c>
      <c r="I1" s="31" t="s">
        <v>53</v>
      </c>
      <c r="J1" s="31" t="s">
        <v>54</v>
      </c>
    </row>
    <row r="2" spans="1:10" x14ac:dyDescent="0.35">
      <c r="A2" s="32" t="s">
        <v>29</v>
      </c>
      <c r="B2" s="45" t="s">
        <v>30</v>
      </c>
      <c r="C2" s="46">
        <v>19.276273885350317</v>
      </c>
      <c r="D2" s="47">
        <v>1256</v>
      </c>
      <c r="E2" s="48">
        <f t="shared" ref="E2:E7" si="0">+D2*C2</f>
        <v>24211</v>
      </c>
      <c r="F2" s="49">
        <v>1</v>
      </c>
      <c r="G2" s="47">
        <f t="shared" ref="G2:G8" si="1">+E2*F2</f>
        <v>24211</v>
      </c>
      <c r="I2" s="43" t="s">
        <v>41</v>
      </c>
      <c r="J2" s="44">
        <v>0.11935177894663444</v>
      </c>
    </row>
    <row r="3" spans="1:10" x14ac:dyDescent="0.35">
      <c r="A3" s="32"/>
      <c r="B3" s="45" t="s">
        <v>31</v>
      </c>
      <c r="C3" s="46">
        <v>20.770459081836329</v>
      </c>
      <c r="D3" s="47">
        <v>501</v>
      </c>
      <c r="E3" s="48">
        <f t="shared" si="0"/>
        <v>10406</v>
      </c>
      <c r="F3" s="49">
        <v>1</v>
      </c>
      <c r="G3" s="47">
        <f t="shared" si="1"/>
        <v>10406</v>
      </c>
      <c r="I3" s="43" t="s">
        <v>42</v>
      </c>
      <c r="J3" s="44">
        <v>0.12161642037486395</v>
      </c>
    </row>
    <row r="4" spans="1:10" x14ac:dyDescent="0.35">
      <c r="A4" s="32"/>
      <c r="B4" s="45" t="s">
        <v>32</v>
      </c>
      <c r="C4" s="46">
        <v>26.330114135206323</v>
      </c>
      <c r="D4" s="47">
        <v>683.4</v>
      </c>
      <c r="E4" s="48">
        <f t="shared" si="0"/>
        <v>17994</v>
      </c>
      <c r="F4" s="49">
        <v>1</v>
      </c>
      <c r="G4" s="47">
        <f t="shared" si="1"/>
        <v>17994</v>
      </c>
      <c r="I4" s="43" t="s">
        <v>43</v>
      </c>
      <c r="J4" s="44">
        <v>0.13703843336713908</v>
      </c>
    </row>
    <row r="5" spans="1:10" x14ac:dyDescent="0.35">
      <c r="A5" s="32"/>
      <c r="B5" s="45" t="s">
        <v>33</v>
      </c>
      <c r="C5" s="46">
        <v>21.48303896832072</v>
      </c>
      <c r="D5" s="47">
        <v>356.7</v>
      </c>
      <c r="E5" s="48">
        <f t="shared" si="0"/>
        <v>7663.0000000000009</v>
      </c>
      <c r="F5" s="49">
        <v>1</v>
      </c>
      <c r="G5" s="47">
        <f t="shared" si="1"/>
        <v>7663.0000000000009</v>
      </c>
      <c r="I5" s="43" t="s">
        <v>44</v>
      </c>
      <c r="J5" s="44">
        <v>0.11755301786767632</v>
      </c>
    </row>
    <row r="6" spans="1:10" x14ac:dyDescent="0.35">
      <c r="A6" s="32"/>
      <c r="B6" s="45" t="s">
        <v>34</v>
      </c>
      <c r="C6" s="46">
        <v>25</v>
      </c>
      <c r="D6" s="47">
        <v>776</v>
      </c>
      <c r="E6" s="48">
        <f t="shared" si="0"/>
        <v>19400</v>
      </c>
      <c r="F6" s="49">
        <v>1</v>
      </c>
      <c r="G6" s="47">
        <f t="shared" si="1"/>
        <v>19400</v>
      </c>
      <c r="I6" s="43" t="s">
        <v>45</v>
      </c>
      <c r="J6" s="44">
        <v>8.5520978709393083E-2</v>
      </c>
    </row>
    <row r="7" spans="1:10" x14ac:dyDescent="0.35">
      <c r="A7" s="32"/>
      <c r="B7" s="45" t="s">
        <v>35</v>
      </c>
      <c r="C7" s="46">
        <v>1.5</v>
      </c>
      <c r="D7" s="47">
        <v>570</v>
      </c>
      <c r="E7" s="48">
        <f t="shared" si="0"/>
        <v>855</v>
      </c>
      <c r="F7" s="49">
        <v>1</v>
      </c>
      <c r="G7" s="47">
        <f t="shared" si="1"/>
        <v>855</v>
      </c>
      <c r="I7" s="43" t="s">
        <v>46</v>
      </c>
      <c r="J7" s="44">
        <v>5.0488316081216449E-2</v>
      </c>
    </row>
    <row r="8" spans="1:10" x14ac:dyDescent="0.35">
      <c r="A8" s="32"/>
      <c r="B8" s="45" t="s">
        <v>13</v>
      </c>
      <c r="C8" s="46">
        <v>21</v>
      </c>
      <c r="D8" s="47">
        <v>2296</v>
      </c>
      <c r="E8" s="48">
        <f>+D8*C8</f>
        <v>48216</v>
      </c>
      <c r="F8" s="49">
        <v>0.95</v>
      </c>
      <c r="G8" s="47">
        <f t="shared" si="1"/>
        <v>45805.2</v>
      </c>
      <c r="I8" s="43" t="s">
        <v>47</v>
      </c>
      <c r="J8" s="44">
        <v>3.825475885383544E-2</v>
      </c>
    </row>
    <row r="9" spans="1:10" x14ac:dyDescent="0.35">
      <c r="A9" s="32"/>
      <c r="B9" s="12" t="s">
        <v>14</v>
      </c>
      <c r="C9" s="50">
        <f>+E9/D9</f>
        <v>19.436895078564358</v>
      </c>
      <c r="D9" s="51">
        <f>SUM(D2:D7)</f>
        <v>4143.1000000000004</v>
      </c>
      <c r="E9" s="52">
        <f>SUM(E2:E7)</f>
        <v>80529</v>
      </c>
      <c r="F9" s="52">
        <f>+E9</f>
        <v>80529</v>
      </c>
      <c r="G9" s="52">
        <f>SUM(G2:G8)</f>
        <v>126334.2</v>
      </c>
      <c r="I9" s="43" t="s">
        <v>48</v>
      </c>
      <c r="J9" s="44">
        <v>4.3957633010617878E-2</v>
      </c>
    </row>
    <row r="10" spans="1:10" x14ac:dyDescent="0.35">
      <c r="A10" s="32" t="s">
        <v>38</v>
      </c>
      <c r="B10" s="45" t="s">
        <v>15</v>
      </c>
      <c r="C10" s="53">
        <f>+E10/D10</f>
        <v>18.960444589735207</v>
      </c>
      <c r="D10" s="47">
        <v>3059</v>
      </c>
      <c r="E10" s="48">
        <v>58000</v>
      </c>
      <c r="F10" s="54">
        <v>0.3</v>
      </c>
      <c r="G10" s="47">
        <f>+E10*F10</f>
        <v>17400</v>
      </c>
      <c r="I10" s="43" t="s">
        <v>49</v>
      </c>
      <c r="J10" s="44">
        <v>6.0768668303662364E-2</v>
      </c>
    </row>
    <row r="11" spans="1:10" x14ac:dyDescent="0.35">
      <c r="A11" s="32"/>
      <c r="B11" s="45" t="s">
        <v>36</v>
      </c>
      <c r="C11" s="46">
        <v>13</v>
      </c>
      <c r="D11" s="47">
        <v>1342</v>
      </c>
      <c r="E11" s="48">
        <f t="shared" ref="E11:E17" si="2">+D11*C11</f>
        <v>17446</v>
      </c>
      <c r="F11" s="54">
        <v>0.8</v>
      </c>
      <c r="G11" s="47">
        <f t="shared" ref="G11:G17" si="3">+E11*F11</f>
        <v>13956.800000000001</v>
      </c>
      <c r="I11" s="43" t="s">
        <v>50</v>
      </c>
      <c r="J11" s="44">
        <v>7.9637805251132954E-2</v>
      </c>
    </row>
    <row r="12" spans="1:10" x14ac:dyDescent="0.35">
      <c r="A12" s="32"/>
      <c r="B12" s="45" t="s">
        <v>37</v>
      </c>
      <c r="C12" s="46">
        <v>12.5</v>
      </c>
      <c r="D12" s="47">
        <v>3002</v>
      </c>
      <c r="E12" s="48">
        <f t="shared" si="2"/>
        <v>37525</v>
      </c>
      <c r="F12" s="55">
        <v>0.2</v>
      </c>
      <c r="G12" s="47">
        <f t="shared" si="3"/>
        <v>7505</v>
      </c>
      <c r="I12" s="43" t="s">
        <v>51</v>
      </c>
      <c r="J12" s="44">
        <v>7.9204833779203149E-2</v>
      </c>
    </row>
    <row r="13" spans="1:10" x14ac:dyDescent="0.35">
      <c r="A13" s="32"/>
      <c r="B13" s="45" t="s">
        <v>18</v>
      </c>
      <c r="C13" s="46">
        <v>14</v>
      </c>
      <c r="D13" s="47">
        <v>854</v>
      </c>
      <c r="E13" s="48">
        <f t="shared" si="2"/>
        <v>11956</v>
      </c>
      <c r="F13" s="54">
        <v>0.9</v>
      </c>
      <c r="G13" s="47">
        <f t="shared" si="3"/>
        <v>10760.4</v>
      </c>
      <c r="I13" s="43" t="s">
        <v>52</v>
      </c>
      <c r="J13" s="44">
        <v>6.660211565312639E-2</v>
      </c>
    </row>
    <row r="14" spans="1:10" x14ac:dyDescent="0.35">
      <c r="A14" s="32"/>
      <c r="B14" s="45" t="s">
        <v>19</v>
      </c>
      <c r="C14" s="46">
        <v>5</v>
      </c>
      <c r="D14" s="47">
        <v>1357</v>
      </c>
      <c r="E14" s="48">
        <f t="shared" si="2"/>
        <v>6785</v>
      </c>
      <c r="F14" s="54">
        <v>0.5</v>
      </c>
      <c r="G14" s="47">
        <f t="shared" si="3"/>
        <v>3392.5</v>
      </c>
    </row>
    <row r="15" spans="1:10" x14ac:dyDescent="0.35">
      <c r="A15" s="32"/>
      <c r="B15" s="45" t="s">
        <v>20</v>
      </c>
      <c r="C15" s="46">
        <v>12</v>
      </c>
      <c r="D15" s="47">
        <v>384</v>
      </c>
      <c r="E15" s="48">
        <f t="shared" si="2"/>
        <v>4608</v>
      </c>
      <c r="F15" s="54">
        <v>1</v>
      </c>
      <c r="G15" s="47">
        <f t="shared" si="3"/>
        <v>4608</v>
      </c>
    </row>
    <row r="16" spans="1:10" x14ac:dyDescent="0.35">
      <c r="A16" s="32"/>
      <c r="B16" s="45" t="s">
        <v>21</v>
      </c>
      <c r="C16" s="46">
        <v>5</v>
      </c>
      <c r="D16" s="47">
        <v>160.1</v>
      </c>
      <c r="E16" s="48">
        <f t="shared" si="2"/>
        <v>800.5</v>
      </c>
      <c r="F16" s="54">
        <v>1</v>
      </c>
      <c r="G16" s="47">
        <f t="shared" si="3"/>
        <v>800.5</v>
      </c>
    </row>
    <row r="17" spans="1:7" x14ac:dyDescent="0.35">
      <c r="A17" s="32"/>
      <c r="B17" s="45" t="s">
        <v>22</v>
      </c>
      <c r="C17" s="46">
        <v>12</v>
      </c>
      <c r="D17" s="56">
        <v>686</v>
      </c>
      <c r="E17" s="48">
        <f t="shared" si="2"/>
        <v>8232</v>
      </c>
      <c r="F17" s="54">
        <v>0.8</v>
      </c>
      <c r="G17" s="47">
        <f t="shared" si="3"/>
        <v>6585.6</v>
      </c>
    </row>
    <row r="18" spans="1:7" x14ac:dyDescent="0.35">
      <c r="A18" s="32"/>
      <c r="B18" s="57" t="s">
        <v>24</v>
      </c>
      <c r="C18" s="58">
        <f>+E18/D18</f>
        <v>15.85918695611924</v>
      </c>
      <c r="D18" s="59">
        <f>SUM(D8:D17)</f>
        <v>17283.199999999997</v>
      </c>
      <c r="E18" s="59">
        <f>SUM(E8:E17)</f>
        <v>274097.5</v>
      </c>
      <c r="F18" s="57"/>
      <c r="G18" s="60">
        <f>SUM(G10:G17)</f>
        <v>65008.800000000003</v>
      </c>
    </row>
  </sheetData>
  <mergeCells count="2">
    <mergeCell ref="A2:A9"/>
    <mergeCell ref="A10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AA5F-DCC8-4147-B8EF-3CE071B33EE9}">
  <dimension ref="A1:J23"/>
  <sheetViews>
    <sheetView tabSelected="1" workbookViewId="0">
      <selection activeCell="I1" sqref="I1:J13"/>
    </sheetView>
  </sheetViews>
  <sheetFormatPr baseColWidth="10" defaultColWidth="18.08984375" defaultRowHeight="14.5" x14ac:dyDescent="0.35"/>
  <cols>
    <col min="1" max="1" width="10.90625"/>
    <col min="2" max="2" width="24.81640625" bestFit="1" customWidth="1"/>
  </cols>
  <sheetData>
    <row r="1" spans="1:10" ht="29" x14ac:dyDescent="0.35">
      <c r="A1" s="31" t="s">
        <v>26</v>
      </c>
      <c r="B1" s="1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4" t="s">
        <v>5</v>
      </c>
      <c r="I1" s="31" t="s">
        <v>53</v>
      </c>
      <c r="J1" s="31" t="s">
        <v>54</v>
      </c>
    </row>
    <row r="2" spans="1:10" ht="14.5" customHeight="1" x14ac:dyDescent="0.35">
      <c r="A2" s="40" t="s">
        <v>29</v>
      </c>
      <c r="B2" s="5" t="s">
        <v>6</v>
      </c>
      <c r="C2" s="6">
        <v>19.34</v>
      </c>
      <c r="D2" s="7">
        <v>1256</v>
      </c>
      <c r="E2" s="8">
        <f>+D2*C2</f>
        <v>24291.040000000001</v>
      </c>
      <c r="F2" s="9">
        <v>1</v>
      </c>
      <c r="G2" s="7">
        <f t="shared" ref="G2:G5" si="0">+E2*F2</f>
        <v>24291.040000000001</v>
      </c>
      <c r="I2" s="43" t="s">
        <v>41</v>
      </c>
      <c r="J2" s="44">
        <v>0.1158</v>
      </c>
    </row>
    <row r="3" spans="1:10" x14ac:dyDescent="0.35">
      <c r="A3" s="41"/>
      <c r="B3" s="10" t="s">
        <v>7</v>
      </c>
      <c r="C3" s="6">
        <v>23.4</v>
      </c>
      <c r="D3" s="7">
        <v>501</v>
      </c>
      <c r="E3" s="8">
        <f t="shared" ref="E3:E9" si="1">+D3*C3</f>
        <v>11723.4</v>
      </c>
      <c r="F3" s="9">
        <v>1</v>
      </c>
      <c r="G3" s="7">
        <f t="shared" si="0"/>
        <v>11723.4</v>
      </c>
      <c r="I3" s="43" t="s">
        <v>42</v>
      </c>
      <c r="J3" s="44">
        <v>0.1203</v>
      </c>
    </row>
    <row r="4" spans="1:10" x14ac:dyDescent="0.35">
      <c r="A4" s="41"/>
      <c r="B4" s="10" t="s">
        <v>8</v>
      </c>
      <c r="C4" s="6">
        <v>6.43</v>
      </c>
      <c r="D4" s="7">
        <v>258</v>
      </c>
      <c r="E4" s="8">
        <f t="shared" si="1"/>
        <v>1658.9399999999998</v>
      </c>
      <c r="F4" s="9">
        <v>1</v>
      </c>
      <c r="G4" s="7">
        <f t="shared" si="0"/>
        <v>1658.9399999999998</v>
      </c>
      <c r="I4" s="43" t="s">
        <v>43</v>
      </c>
      <c r="J4" s="44">
        <v>0.1431</v>
      </c>
    </row>
    <row r="5" spans="1:10" x14ac:dyDescent="0.35">
      <c r="A5" s="41"/>
      <c r="B5" s="10" t="s">
        <v>9</v>
      </c>
      <c r="C5" s="6">
        <v>24.87</v>
      </c>
      <c r="D5" s="7">
        <v>683.4</v>
      </c>
      <c r="E5" s="8">
        <f t="shared" si="1"/>
        <v>16996.157999999999</v>
      </c>
      <c r="F5" s="9">
        <v>1</v>
      </c>
      <c r="G5" s="7">
        <f t="shared" si="0"/>
        <v>16996.157999999999</v>
      </c>
      <c r="I5" s="43" t="s">
        <v>44</v>
      </c>
      <c r="J5" s="44">
        <v>0.11550000000000001</v>
      </c>
    </row>
    <row r="6" spans="1:10" x14ac:dyDescent="0.35">
      <c r="A6" s="41"/>
      <c r="B6" s="10" t="s">
        <v>10</v>
      </c>
      <c r="C6" s="6">
        <v>21.92</v>
      </c>
      <c r="D6" s="7">
        <v>356.7</v>
      </c>
      <c r="E6" s="8">
        <f t="shared" si="1"/>
        <v>7818.8640000000005</v>
      </c>
      <c r="F6" s="9">
        <v>1</v>
      </c>
      <c r="G6" s="7">
        <f>+E6*F6</f>
        <v>7818.8640000000005</v>
      </c>
      <c r="I6" s="43" t="s">
        <v>45</v>
      </c>
      <c r="J6" s="44">
        <v>8.5900000000000004E-2</v>
      </c>
    </row>
    <row r="7" spans="1:10" x14ac:dyDescent="0.35">
      <c r="A7" s="41"/>
      <c r="B7" s="10" t="s">
        <v>11</v>
      </c>
      <c r="C7" s="6">
        <v>25</v>
      </c>
      <c r="D7" s="7">
        <v>774</v>
      </c>
      <c r="E7" s="8">
        <f t="shared" si="1"/>
        <v>19350</v>
      </c>
      <c r="F7" s="9">
        <v>1</v>
      </c>
      <c r="G7" s="7">
        <f>+E7*F7</f>
        <v>19350</v>
      </c>
      <c r="I7" s="43" t="s">
        <v>46</v>
      </c>
      <c r="J7" s="44">
        <v>5.16E-2</v>
      </c>
    </row>
    <row r="8" spans="1:10" x14ac:dyDescent="0.35">
      <c r="A8" s="41"/>
      <c r="B8" s="10" t="s">
        <v>12</v>
      </c>
      <c r="C8" s="6">
        <v>6</v>
      </c>
      <c r="D8" s="7">
        <v>220</v>
      </c>
      <c r="E8" s="8">
        <f t="shared" si="1"/>
        <v>1320</v>
      </c>
      <c r="F8" s="9">
        <v>1</v>
      </c>
      <c r="G8" s="7">
        <f t="shared" ref="G8" si="2">+E8*F8</f>
        <v>1320</v>
      </c>
      <c r="I8" s="43" t="s">
        <v>47</v>
      </c>
      <c r="J8" s="44">
        <v>3.9199999999999999E-2</v>
      </c>
    </row>
    <row r="9" spans="1:10" x14ac:dyDescent="0.35">
      <c r="A9" s="41"/>
      <c r="B9" s="11" t="s">
        <v>13</v>
      </c>
      <c r="C9" s="6">
        <v>21</v>
      </c>
      <c r="D9" s="7">
        <v>2296</v>
      </c>
      <c r="E9" s="8">
        <f t="shared" si="1"/>
        <v>48216</v>
      </c>
      <c r="F9" s="9">
        <v>1</v>
      </c>
      <c r="G9" s="7">
        <f>+E9*F9</f>
        <v>48216</v>
      </c>
      <c r="I9" s="43" t="s">
        <v>48</v>
      </c>
      <c r="J9" s="44">
        <v>4.5199999999999997E-2</v>
      </c>
    </row>
    <row r="10" spans="1:10" ht="14.5" customHeight="1" x14ac:dyDescent="0.35">
      <c r="A10" s="42"/>
      <c r="B10" s="12" t="s">
        <v>14</v>
      </c>
      <c r="C10" s="13">
        <f>+SUMPRODUCT(C2:C9,D2:D9)/SUM(D2:D9)</f>
        <v>20.704859182676394</v>
      </c>
      <c r="D10" s="14">
        <f>SUM(D2:D9)</f>
        <v>6345.1</v>
      </c>
      <c r="E10" s="15">
        <f>SUM(E2:E9)</f>
        <v>131374.402</v>
      </c>
      <c r="F10" s="15"/>
      <c r="G10" s="16">
        <f t="shared" ref="G10" si="3">SUM(G2:G9)</f>
        <v>131374.402</v>
      </c>
      <c r="I10" s="43" t="s">
        <v>49</v>
      </c>
      <c r="J10" s="44">
        <v>6.0900000000000003E-2</v>
      </c>
    </row>
    <row r="11" spans="1:10" ht="14.5" customHeight="1" x14ac:dyDescent="0.35">
      <c r="A11" s="38" t="s">
        <v>38</v>
      </c>
      <c r="B11" s="10" t="s">
        <v>15</v>
      </c>
      <c r="C11" s="17">
        <v>19</v>
      </c>
      <c r="D11" s="7">
        <v>3059</v>
      </c>
      <c r="E11" s="8">
        <v>58000</v>
      </c>
      <c r="F11" s="18">
        <v>0.3</v>
      </c>
      <c r="G11" s="19">
        <f>+E11*F11</f>
        <v>17400</v>
      </c>
      <c r="I11" s="43" t="s">
        <v>50</v>
      </c>
      <c r="J11" s="44">
        <v>7.8799999999999995E-2</v>
      </c>
    </row>
    <row r="12" spans="1:10" x14ac:dyDescent="0.35">
      <c r="A12" s="39"/>
      <c r="B12" s="10" t="s">
        <v>16</v>
      </c>
      <c r="C12" s="17">
        <v>17</v>
      </c>
      <c r="D12" s="7">
        <v>1342</v>
      </c>
      <c r="E12" s="8">
        <f t="shared" ref="E12:E21" si="4">+D12*C12</f>
        <v>22814</v>
      </c>
      <c r="F12" s="18">
        <v>1</v>
      </c>
      <c r="G12" s="19">
        <f t="shared" ref="G12:G21" si="5">+E12*F12</f>
        <v>22814</v>
      </c>
      <c r="I12" s="43" t="s">
        <v>51</v>
      </c>
      <c r="J12" s="44">
        <v>7.7700000000000005E-2</v>
      </c>
    </row>
    <row r="13" spans="1:10" x14ac:dyDescent="0.35">
      <c r="A13" s="39"/>
      <c r="B13" s="10" t="s">
        <v>17</v>
      </c>
      <c r="C13" s="17">
        <v>12.5</v>
      </c>
      <c r="D13" s="7">
        <v>3002</v>
      </c>
      <c r="E13" s="8">
        <f t="shared" si="4"/>
        <v>37525</v>
      </c>
      <c r="F13" s="20">
        <v>0.15</v>
      </c>
      <c r="G13" s="19">
        <f t="shared" si="5"/>
        <v>5628.75</v>
      </c>
      <c r="I13" s="43" t="s">
        <v>52</v>
      </c>
      <c r="J13" s="44">
        <v>6.6000000000000003E-2</v>
      </c>
    </row>
    <row r="14" spans="1:10" x14ac:dyDescent="0.35">
      <c r="A14" s="39"/>
      <c r="B14" s="10" t="s">
        <v>18</v>
      </c>
      <c r="C14" s="17">
        <v>17</v>
      </c>
      <c r="D14" s="7">
        <v>854</v>
      </c>
      <c r="E14" s="8">
        <f t="shared" si="4"/>
        <v>14518</v>
      </c>
      <c r="F14" s="18">
        <v>0.95</v>
      </c>
      <c r="G14" s="19">
        <f t="shared" si="5"/>
        <v>13792.099999999999</v>
      </c>
    </row>
    <row r="15" spans="1:10" x14ac:dyDescent="0.35">
      <c r="A15" s="39"/>
      <c r="B15" s="10" t="s">
        <v>19</v>
      </c>
      <c r="C15" s="17">
        <v>4.5</v>
      </c>
      <c r="D15" s="7">
        <v>1357</v>
      </c>
      <c r="E15" s="8">
        <f t="shared" si="4"/>
        <v>6106.5</v>
      </c>
      <c r="F15" s="18">
        <v>0.7</v>
      </c>
      <c r="G15" s="19">
        <f t="shared" si="5"/>
        <v>4274.55</v>
      </c>
    </row>
    <row r="16" spans="1:10" x14ac:dyDescent="0.35">
      <c r="A16" s="39"/>
      <c r="B16" s="10" t="s">
        <v>20</v>
      </c>
      <c r="C16" s="17">
        <v>8</v>
      </c>
      <c r="D16" s="7">
        <v>384</v>
      </c>
      <c r="E16" s="8">
        <f t="shared" si="4"/>
        <v>3072</v>
      </c>
      <c r="F16" s="18">
        <v>1</v>
      </c>
      <c r="G16" s="19">
        <f t="shared" si="5"/>
        <v>3072</v>
      </c>
    </row>
    <row r="17" spans="1:7" x14ac:dyDescent="0.35">
      <c r="A17" s="39"/>
      <c r="B17" s="10" t="s">
        <v>21</v>
      </c>
      <c r="C17" s="17">
        <v>6</v>
      </c>
      <c r="D17" s="7">
        <v>160.1</v>
      </c>
      <c r="E17" s="8">
        <f t="shared" si="4"/>
        <v>960.59999999999991</v>
      </c>
      <c r="F17" s="18">
        <v>1</v>
      </c>
      <c r="G17" s="19">
        <f t="shared" si="5"/>
        <v>960.59999999999991</v>
      </c>
    </row>
    <row r="18" spans="1:7" x14ac:dyDescent="0.35">
      <c r="A18" s="39"/>
      <c r="B18" s="10" t="s">
        <v>22</v>
      </c>
      <c r="C18" s="17">
        <v>3.5</v>
      </c>
      <c r="D18" s="21">
        <v>686</v>
      </c>
      <c r="E18" s="8">
        <f t="shared" si="4"/>
        <v>2401</v>
      </c>
      <c r="F18" s="18">
        <v>0.8</v>
      </c>
      <c r="G18" s="19">
        <f t="shared" si="5"/>
        <v>1920.8000000000002</v>
      </c>
    </row>
    <row r="19" spans="1:7" x14ac:dyDescent="0.35">
      <c r="A19" s="39"/>
      <c r="B19" s="33" t="s">
        <v>23</v>
      </c>
      <c r="C19" s="34">
        <v>23</v>
      </c>
      <c r="D19" s="35">
        <v>1212</v>
      </c>
      <c r="E19" s="8">
        <f t="shared" si="4"/>
        <v>27876</v>
      </c>
      <c r="F19" s="36">
        <v>0.3</v>
      </c>
      <c r="G19" s="37">
        <f t="shared" si="5"/>
        <v>8362.7999999999993</v>
      </c>
    </row>
    <row r="20" spans="1:7" x14ac:dyDescent="0.35">
      <c r="A20" s="39"/>
      <c r="B20" s="33" t="s">
        <v>39</v>
      </c>
      <c r="C20" s="34">
        <v>6</v>
      </c>
      <c r="D20" s="35">
        <v>246</v>
      </c>
      <c r="E20" s="8">
        <f t="shared" si="4"/>
        <v>1476</v>
      </c>
      <c r="F20" s="36">
        <v>1</v>
      </c>
      <c r="G20" s="37">
        <f t="shared" si="5"/>
        <v>1476</v>
      </c>
    </row>
    <row r="21" spans="1:7" x14ac:dyDescent="0.35">
      <c r="A21" s="39"/>
      <c r="B21" s="33" t="s">
        <v>40</v>
      </c>
      <c r="C21" s="34">
        <v>6</v>
      </c>
      <c r="D21" s="35">
        <v>225</v>
      </c>
      <c r="E21" s="8">
        <f t="shared" si="4"/>
        <v>1350</v>
      </c>
      <c r="F21" s="36">
        <v>1</v>
      </c>
      <c r="G21" s="37">
        <f t="shared" si="5"/>
        <v>1350</v>
      </c>
    </row>
    <row r="22" spans="1:7" x14ac:dyDescent="0.35">
      <c r="A22" s="39"/>
      <c r="B22" s="22" t="s">
        <v>24</v>
      </c>
      <c r="C22" s="23">
        <f>+SUMPRODUCT(C11:C19,D11:D19)/SUM(D11:D19)</f>
        <v>14.382271215401332</v>
      </c>
      <c r="D22" s="24">
        <f>SUM(D11:D20)</f>
        <v>12302.1</v>
      </c>
      <c r="E22" s="24">
        <f>SUM(E11:E19)</f>
        <v>173273.1</v>
      </c>
      <c r="F22" s="25">
        <f>+G22/E22</f>
        <v>0.45145842026257971</v>
      </c>
      <c r="G22" s="26">
        <f>SUM(G11:G19)</f>
        <v>78225.600000000006</v>
      </c>
    </row>
    <row r="23" spans="1:7" x14ac:dyDescent="0.35">
      <c r="B23" s="27" t="s">
        <v>25</v>
      </c>
      <c r="C23" s="28">
        <f>+E23/D23</f>
        <v>16.337439508344413</v>
      </c>
      <c r="D23" s="29">
        <f>+D10+D22</f>
        <v>18647.2</v>
      </c>
      <c r="E23" s="30">
        <f>+E22+E10</f>
        <v>304647.50199999998</v>
      </c>
      <c r="F23" s="30"/>
      <c r="G23" s="30">
        <f>+G10+G22</f>
        <v>209600.00200000001</v>
      </c>
    </row>
  </sheetData>
  <mergeCells count="2">
    <mergeCell ref="A2:A10"/>
    <mergeCell ref="A11:A2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Lizeth Garrido Cleves</dc:creator>
  <cp:lastModifiedBy>Karen Lizeth Garrido Cleves</cp:lastModifiedBy>
  <dcterms:created xsi:type="dcterms:W3CDTF">2026-07-06T23:05:49Z</dcterms:created>
  <dcterms:modified xsi:type="dcterms:W3CDTF">2026-07-06T23:38:30Z</dcterms:modified>
</cp:coreProperties>
</file>